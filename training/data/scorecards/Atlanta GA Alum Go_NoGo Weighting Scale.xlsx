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ccontrolswarren.sharepoint.com/sites/CEC_Business_Development/Shared Documents/Water/2025/2025-XXXX Atlanta GA Alum Sys Improv/"/>
    </mc:Choice>
  </mc:AlternateContent>
  <xr:revisionPtr revIDLastSave="25" documentId="8_{41E1665F-6F89-4428-A1BE-E0BD0D167D14}" xr6:coauthVersionLast="47" xr6:coauthVersionMax="47" xr10:uidLastSave="{004B7043-3E4B-48C5-A6BB-DC951553E31F}"/>
  <bookViews>
    <workbookView xWindow="-110" yWindow="-110" windowWidth="19420" windowHeight="11500" xr2:uid="{2FD6C7F4-0ACD-48CB-A482-6303A6D4E8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D36" i="1"/>
  <c r="D37" i="1" l="1"/>
</calcChain>
</file>

<file path=xl/sharedStrings.xml><?xml version="1.0" encoding="utf-8"?>
<sst xmlns="http://schemas.openxmlformats.org/spreadsheetml/2006/main" count="82" uniqueCount="63">
  <si>
    <t>Intent:</t>
  </si>
  <si>
    <t xml:space="preserve">This checklist is to help pre - screeners to more accurately grade potetnial proposals in order to assist water team in priority assignments when manpower is limited. </t>
  </si>
  <si>
    <t>Item</t>
  </si>
  <si>
    <t>Description</t>
  </si>
  <si>
    <t>Grade Definition</t>
  </si>
  <si>
    <t>Bid Field</t>
  </si>
  <si>
    <t>Grade</t>
  </si>
  <si>
    <t>Listed as approved integrator</t>
  </si>
  <si>
    <t>5 - yes, 0 - no</t>
  </si>
  <si>
    <t>Possible Points</t>
  </si>
  <si>
    <t>Technical Specifications</t>
  </si>
  <si>
    <t>Specs are clear</t>
  </si>
  <si>
    <t>Total</t>
  </si>
  <si>
    <t>Score</t>
  </si>
  <si>
    <t>0 to 5, with 5 best</t>
  </si>
  <si>
    <t>PLC / SCADA System Rankings</t>
  </si>
  <si>
    <t>Preferred</t>
  </si>
  <si>
    <t>Acceptable</t>
  </si>
  <si>
    <t>Not Desirable</t>
  </si>
  <si>
    <t>Rockwell</t>
  </si>
  <si>
    <t>VTSCADA</t>
  </si>
  <si>
    <t>SCADA</t>
  </si>
  <si>
    <t>PLC</t>
  </si>
  <si>
    <t>Siemens</t>
  </si>
  <si>
    <t>x</t>
  </si>
  <si>
    <t>Igntion</t>
  </si>
  <si>
    <t>FactoryTalk</t>
  </si>
  <si>
    <t>DCS</t>
  </si>
  <si>
    <t>PlantPax</t>
  </si>
  <si>
    <t>Others</t>
  </si>
  <si>
    <t>Wonderware</t>
  </si>
  <si>
    <t>10 - preferred, 5 acceptable, 0 not desirable</t>
  </si>
  <si>
    <t>Number of integrators (whether CEC is listed or utilizing "or equa"l provision)</t>
  </si>
  <si>
    <t>Packaged Systems / Others</t>
  </si>
  <si>
    <t>Emerson DeltaV (Jeff Wood only)</t>
  </si>
  <si>
    <t>0 to 10, with 10 best</t>
  </si>
  <si>
    <t>Other Considerations</t>
  </si>
  <si>
    <t>No known contract or bonding issues</t>
  </si>
  <si>
    <t>10 if &lt;3, 5 if &lt;5, 0 if &gt;5 or unknown</t>
  </si>
  <si>
    <t>5 - invited, 2 - easily findable bid list, 0 - unclear field</t>
  </si>
  <si>
    <t xml:space="preserve">Scope is Design only or Design Build </t>
  </si>
  <si>
    <t>5 -no, 0 - yes</t>
  </si>
  <si>
    <t>Scope includes installation</t>
  </si>
  <si>
    <t>5 - no, 2 - yes (we know a partner), 0 = yes</t>
  </si>
  <si>
    <t>Schneider / Modicon</t>
  </si>
  <si>
    <r>
      <t>10 - yes</t>
    </r>
    <r>
      <rPr>
        <sz val="11"/>
        <rFont val="Aptos Narrow"/>
        <family val="2"/>
        <scheme val="minor"/>
      </rPr>
      <t>, 5 - Not Req'd,</t>
    </r>
    <r>
      <rPr>
        <sz val="11"/>
        <color rgb="FFFF0000"/>
        <rFont val="Aptos Narrow"/>
        <family val="2"/>
        <scheme val="minor"/>
      </rPr>
      <t xml:space="preserve">  </t>
    </r>
    <r>
      <rPr>
        <sz val="11"/>
        <color theme="1"/>
        <rFont val="Aptos Narrow"/>
        <family val="2"/>
        <scheme val="minor"/>
      </rPr>
      <t>0 - no</t>
    </r>
  </si>
  <si>
    <t xml:space="preserve">Custome (Bidder's) List </t>
  </si>
  <si>
    <t xml:space="preserve">Bidding to preferred GC or Municapality </t>
  </si>
  <si>
    <r>
      <t xml:space="preserve">PLC System </t>
    </r>
    <r>
      <rPr>
        <sz val="11"/>
        <rFont val="Aptos Narrow"/>
        <family val="2"/>
        <scheme val="minor"/>
      </rPr>
      <t xml:space="preserve"> (if multiple options presented, go with highest value)</t>
    </r>
  </si>
  <si>
    <r>
      <t xml:space="preserve">SCADA System  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(if multiple options presented, go with highest value)</t>
    </r>
  </si>
  <si>
    <t>GE</t>
  </si>
  <si>
    <t>No Unique, high risk, or inablity to procure instrumentation</t>
  </si>
  <si>
    <r>
      <t xml:space="preserve">Near Target Location ( FL, MI, VA, GA, AL, KY, MO, </t>
    </r>
    <r>
      <rPr>
        <sz val="11"/>
        <rFont val="Aptos Narrow"/>
        <family val="2"/>
        <scheme val="minor"/>
      </rPr>
      <t>KS,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TN) </t>
    </r>
  </si>
  <si>
    <t xml:space="preserve">Bid due date is appropriate for size and achievable by time assigned </t>
  </si>
  <si>
    <t>Project Schedule is achievable</t>
  </si>
  <si>
    <t>0 - not close (&gt;4 hrs), 2 somewhat close (&lt;4 hrs), 5 close (&lt;2 hrs)</t>
  </si>
  <si>
    <r>
      <t xml:space="preserve">Bid offers strategic value </t>
    </r>
    <r>
      <rPr>
        <sz val="11"/>
        <rFont val="Aptos Narrow"/>
        <family val="2"/>
        <scheme val="minor"/>
      </rPr>
      <t>(balance new customer vs ROI)</t>
    </r>
  </si>
  <si>
    <t>Comments</t>
  </si>
  <si>
    <t>Fayette County, S of ATL</t>
  </si>
  <si>
    <t>Programming requires owner approval</t>
  </si>
  <si>
    <t>Existing, to be modified</t>
  </si>
  <si>
    <t>355 days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</si>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</sst>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Fill="1" applyBorder="1"/>
    <xf numFmtId="0" fontId="2" fillId="0" borderId="0" xfId="0" applyFont="1"/>
    <xf numFmtId="0" fontId="0" fillId="2" borderId="0" xfId="0" applyFill="1"/>
    <xf numFmtId="10" fontId="1" fillId="2" borderId="0" xfId="0" applyNumberFormat="1" applyFont="1" applyFill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wrapText="1"/>
    </xf>
    <xf numFmtId="0" fontId="1" fillId="0" borderId="0" xfId="0" applyFont="1"/>
    <xf numFmtId="0" fontId="4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46D9-DC54-4FE7-82FE-9BAD40AAAFB6}">
  <dimension ref="A2:Q37"/>
  <sheetViews>
    <sheetView tabSelected="1" topLeftCell="C1" workbookViewId="0">
      <selection activeCell="G26" sqref="G26"/>
    </sheetView>
  </sheetViews>
  <sheetFormatPr defaultRowHeight="14.5" x14ac:dyDescent="0.35"/>
  <cols>
    <col min="1" max="1" width="22.1796875" bestFit="1" customWidth="1"/>
    <col min="2" max="2" width="6.36328125" bestFit="1" customWidth="1"/>
    <col min="3" max="3" width="65.453125" style="16" bestFit="1" customWidth="1"/>
    <col min="4" max="4" width="6.90625" bestFit="1" customWidth="1"/>
    <col min="5" max="5" width="46.81640625" style="16" bestFit="1" customWidth="1"/>
    <col min="6" max="6" width="14.54296875" bestFit="1" customWidth="1"/>
    <col min="7" max="7" width="31.90625" customWidth="1"/>
    <col min="8" max="8" width="2.453125" customWidth="1"/>
    <col min="9" max="9" width="27.90625" bestFit="1" customWidth="1"/>
    <col min="10" max="10" width="9.36328125" bestFit="1" customWidth="1"/>
    <col min="11" max="11" width="10.6328125" bestFit="1" customWidth="1"/>
    <col min="12" max="12" width="13.1796875" bestFit="1" customWidth="1"/>
  </cols>
  <sheetData>
    <row r="2" spans="1:17" x14ac:dyDescent="0.35">
      <c r="B2" t="s">
        <v>0</v>
      </c>
      <c r="C2" s="21" t="s">
        <v>1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4" spans="1:17" x14ac:dyDescent="0.35">
      <c r="B4" s="10" t="s">
        <v>2</v>
      </c>
      <c r="C4" s="12" t="s">
        <v>3</v>
      </c>
      <c r="D4" s="11" t="s">
        <v>6</v>
      </c>
      <c r="E4" s="12" t="s">
        <v>4</v>
      </c>
      <c r="F4" s="11" t="s">
        <v>9</v>
      </c>
      <c r="G4" s="11" t="s">
        <v>57</v>
      </c>
      <c r="I4" s="1" t="s">
        <v>15</v>
      </c>
      <c r="J4" s="1" t="s">
        <v>16</v>
      </c>
      <c r="K4" s="1" t="s">
        <v>17</v>
      </c>
      <c r="L4" s="1" t="s">
        <v>18</v>
      </c>
    </row>
    <row r="5" spans="1:17" x14ac:dyDescent="0.35">
      <c r="B5" s="5"/>
      <c r="C5" s="13"/>
      <c r="D5" s="6"/>
      <c r="E5" s="13"/>
      <c r="F5" s="7"/>
      <c r="G5" s="7"/>
      <c r="I5" s="2" t="s">
        <v>22</v>
      </c>
    </row>
    <row r="6" spans="1:17" x14ac:dyDescent="0.35">
      <c r="A6" s="18" t="s">
        <v>5</v>
      </c>
      <c r="B6" s="7">
        <v>1</v>
      </c>
      <c r="C6" s="14" t="s">
        <v>7</v>
      </c>
      <c r="D6" s="9">
        <v>5</v>
      </c>
      <c r="E6" s="14" t="s">
        <v>45</v>
      </c>
      <c r="F6" s="7">
        <v>10</v>
      </c>
      <c r="G6" s="7" t="s">
        <v>59</v>
      </c>
      <c r="I6" t="s">
        <v>19</v>
      </c>
      <c r="J6" t="s">
        <v>24</v>
      </c>
    </row>
    <row r="7" spans="1:17" x14ac:dyDescent="0.35">
      <c r="B7" s="7">
        <v>2</v>
      </c>
      <c r="C7" s="14" t="s">
        <v>46</v>
      </c>
      <c r="D7" s="9">
        <v>0</v>
      </c>
      <c r="E7" s="14" t="s">
        <v>39</v>
      </c>
      <c r="F7" s="7">
        <v>5</v>
      </c>
      <c r="G7" s="7"/>
      <c r="I7" t="s">
        <v>44</v>
      </c>
      <c r="J7" t="s">
        <v>24</v>
      </c>
    </row>
    <row r="8" spans="1:17" x14ac:dyDescent="0.35">
      <c r="B8" s="7">
        <v>3</v>
      </c>
      <c r="C8" s="14" t="s">
        <v>32</v>
      </c>
      <c r="D8" s="9">
        <v>0</v>
      </c>
      <c r="E8" s="14" t="s">
        <v>38</v>
      </c>
      <c r="F8" s="7">
        <v>10</v>
      </c>
      <c r="G8" s="7"/>
      <c r="I8" t="s">
        <v>23</v>
      </c>
      <c r="K8" t="s">
        <v>24</v>
      </c>
    </row>
    <row r="9" spans="1:17" x14ac:dyDescent="0.35">
      <c r="B9" s="7">
        <v>4</v>
      </c>
      <c r="C9" s="14" t="s">
        <v>47</v>
      </c>
      <c r="D9" s="9">
        <v>0</v>
      </c>
      <c r="E9" s="14" t="s">
        <v>8</v>
      </c>
      <c r="F9" s="7">
        <v>5</v>
      </c>
      <c r="G9" s="7"/>
      <c r="I9" t="s">
        <v>50</v>
      </c>
      <c r="K9" t="s">
        <v>24</v>
      </c>
    </row>
    <row r="10" spans="1:17" x14ac:dyDescent="0.35">
      <c r="B10" s="7">
        <v>5</v>
      </c>
      <c r="C10" s="14"/>
      <c r="D10" s="9"/>
      <c r="E10" s="14"/>
      <c r="F10" s="7"/>
      <c r="G10" s="7"/>
    </row>
    <row r="11" spans="1:17" x14ac:dyDescent="0.35">
      <c r="A11" s="18" t="s">
        <v>10</v>
      </c>
      <c r="B11" s="7">
        <v>6</v>
      </c>
      <c r="C11" s="14" t="s">
        <v>11</v>
      </c>
      <c r="D11" s="9">
        <v>4</v>
      </c>
      <c r="E11" s="14" t="s">
        <v>14</v>
      </c>
      <c r="F11" s="7">
        <v>5</v>
      </c>
      <c r="G11" s="7"/>
    </row>
    <row r="12" spans="1:17" x14ac:dyDescent="0.35">
      <c r="B12" s="7">
        <v>7</v>
      </c>
      <c r="C12" s="14" t="s">
        <v>48</v>
      </c>
      <c r="D12" s="9">
        <v>10</v>
      </c>
      <c r="E12" s="14" t="s">
        <v>31</v>
      </c>
      <c r="F12" s="7">
        <v>10</v>
      </c>
      <c r="G12" s="7" t="s">
        <v>19</v>
      </c>
      <c r="I12" t="s">
        <v>33</v>
      </c>
      <c r="L12" t="s">
        <v>24</v>
      </c>
    </row>
    <row r="13" spans="1:17" x14ac:dyDescent="0.35">
      <c r="B13" s="7">
        <v>8</v>
      </c>
      <c r="C13" s="14" t="s">
        <v>49</v>
      </c>
      <c r="D13" s="9">
        <v>0</v>
      </c>
      <c r="E13" s="14" t="s">
        <v>31</v>
      </c>
      <c r="F13" s="7">
        <v>10</v>
      </c>
      <c r="G13" s="7" t="s">
        <v>60</v>
      </c>
    </row>
    <row r="14" spans="1:17" x14ac:dyDescent="0.35">
      <c r="B14" s="7">
        <v>9</v>
      </c>
      <c r="C14" s="14" t="s">
        <v>51</v>
      </c>
      <c r="D14" s="9">
        <v>10</v>
      </c>
      <c r="E14" s="14" t="s">
        <v>35</v>
      </c>
      <c r="F14" s="7">
        <v>10</v>
      </c>
      <c r="G14" s="7"/>
      <c r="I14" s="2" t="s">
        <v>21</v>
      </c>
    </row>
    <row r="15" spans="1:17" x14ac:dyDescent="0.35">
      <c r="B15" s="7">
        <v>10</v>
      </c>
      <c r="C15" s="14" t="s">
        <v>54</v>
      </c>
      <c r="D15" s="9">
        <v>4</v>
      </c>
      <c r="E15" s="14" t="s">
        <v>14</v>
      </c>
      <c r="F15" s="7">
        <v>5</v>
      </c>
      <c r="G15" s="7" t="s">
        <v>61</v>
      </c>
      <c r="I15" t="s">
        <v>20</v>
      </c>
      <c r="J15" t="s">
        <v>24</v>
      </c>
    </row>
    <row r="16" spans="1:17" x14ac:dyDescent="0.35">
      <c r="B16" s="7">
        <v>11</v>
      </c>
      <c r="C16" s="14"/>
      <c r="D16" s="9"/>
      <c r="E16" s="14"/>
      <c r="F16" s="7"/>
      <c r="G16" s="7"/>
      <c r="I16" t="s">
        <v>25</v>
      </c>
      <c r="J16" t="s">
        <v>24</v>
      </c>
    </row>
    <row r="17" spans="1:12" x14ac:dyDescent="0.35">
      <c r="B17" s="7">
        <v>12</v>
      </c>
      <c r="C17" s="14"/>
      <c r="D17" s="9"/>
      <c r="E17" s="14"/>
      <c r="F17" s="7"/>
      <c r="G17" s="7"/>
      <c r="I17" t="s">
        <v>26</v>
      </c>
      <c r="J17" t="s">
        <v>24</v>
      </c>
    </row>
    <row r="18" spans="1:12" x14ac:dyDescent="0.35">
      <c r="B18" s="7">
        <v>13</v>
      </c>
      <c r="C18" s="14"/>
      <c r="D18" s="9"/>
      <c r="E18" s="14"/>
      <c r="F18" s="7"/>
      <c r="G18" s="7"/>
      <c r="I18" t="s">
        <v>30</v>
      </c>
      <c r="K18" t="s">
        <v>24</v>
      </c>
    </row>
    <row r="19" spans="1:12" x14ac:dyDescent="0.35">
      <c r="B19" s="7">
        <v>14</v>
      </c>
      <c r="C19" s="14"/>
      <c r="D19" s="9"/>
      <c r="E19" s="14"/>
      <c r="F19" s="7"/>
      <c r="G19" s="7"/>
    </row>
    <row r="20" spans="1:12" x14ac:dyDescent="0.35">
      <c r="B20" s="7">
        <v>15</v>
      </c>
      <c r="C20" s="14"/>
      <c r="D20" s="9"/>
      <c r="E20" s="14"/>
      <c r="F20" s="7"/>
      <c r="G20" s="7"/>
      <c r="I20" t="s">
        <v>33</v>
      </c>
      <c r="L20" t="s">
        <v>24</v>
      </c>
    </row>
    <row r="21" spans="1:12" x14ac:dyDescent="0.35">
      <c r="B21" s="7">
        <v>16</v>
      </c>
      <c r="C21" s="14"/>
      <c r="D21" s="9"/>
      <c r="E21" s="14"/>
      <c r="F21" s="7"/>
      <c r="G21" s="7"/>
    </row>
    <row r="22" spans="1:12" ht="29" x14ac:dyDescent="0.35">
      <c r="A22" s="18" t="s">
        <v>36</v>
      </c>
      <c r="B22" s="7">
        <v>17</v>
      </c>
      <c r="C22" s="14" t="s">
        <v>52</v>
      </c>
      <c r="D22" s="9">
        <v>5</v>
      </c>
      <c r="E22" s="19" t="s">
        <v>55</v>
      </c>
      <c r="F22" s="7">
        <v>5</v>
      </c>
      <c r="G22" s="7" t="s">
        <v>58</v>
      </c>
    </row>
    <row r="23" spans="1:12" x14ac:dyDescent="0.35">
      <c r="B23" s="7">
        <v>18</v>
      </c>
      <c r="C23" s="14" t="s">
        <v>53</v>
      </c>
      <c r="D23" s="9">
        <v>5</v>
      </c>
      <c r="E23" s="14" t="s">
        <v>14</v>
      </c>
      <c r="F23" s="7">
        <v>5</v>
      </c>
      <c r="G23" s="7"/>
      <c r="I23" s="2" t="s">
        <v>27</v>
      </c>
    </row>
    <row r="24" spans="1:12" x14ac:dyDescent="0.35">
      <c r="B24" s="7">
        <v>19</v>
      </c>
      <c r="C24" s="14" t="s">
        <v>56</v>
      </c>
      <c r="D24" s="9">
        <v>5</v>
      </c>
      <c r="E24" s="14" t="s">
        <v>14</v>
      </c>
      <c r="F24" s="7">
        <v>5</v>
      </c>
      <c r="G24" s="7"/>
      <c r="I24" t="s">
        <v>28</v>
      </c>
      <c r="K24" t="s">
        <v>24</v>
      </c>
    </row>
    <row r="25" spans="1:12" x14ac:dyDescent="0.35">
      <c r="B25" s="7">
        <v>20</v>
      </c>
      <c r="C25" s="14" t="s">
        <v>37</v>
      </c>
      <c r="D25" s="9">
        <v>0</v>
      </c>
      <c r="E25" s="14" t="s">
        <v>14</v>
      </c>
      <c r="F25" s="7">
        <v>5</v>
      </c>
      <c r="G25" s="7" t="s">
        <v>62</v>
      </c>
      <c r="I25" t="s">
        <v>34</v>
      </c>
      <c r="L25" t="s">
        <v>24</v>
      </c>
    </row>
    <row r="26" spans="1:12" x14ac:dyDescent="0.35">
      <c r="B26" s="7">
        <v>21</v>
      </c>
      <c r="C26" s="14" t="s">
        <v>40</v>
      </c>
      <c r="D26" s="9">
        <v>5</v>
      </c>
      <c r="E26" s="19" t="s">
        <v>41</v>
      </c>
      <c r="F26" s="7">
        <v>5</v>
      </c>
      <c r="G26" s="7"/>
      <c r="I26" t="s">
        <v>29</v>
      </c>
      <c r="L26" t="s">
        <v>24</v>
      </c>
    </row>
    <row r="27" spans="1:12" x14ac:dyDescent="0.35">
      <c r="B27" s="7">
        <v>22</v>
      </c>
      <c r="C27" s="19" t="s">
        <v>42</v>
      </c>
      <c r="D27" s="20">
        <v>5</v>
      </c>
      <c r="E27" s="19" t="s">
        <v>43</v>
      </c>
      <c r="F27" s="7">
        <v>5</v>
      </c>
      <c r="G27" s="7"/>
    </row>
    <row r="28" spans="1:12" x14ac:dyDescent="0.35">
      <c r="B28" s="7">
        <v>23</v>
      </c>
      <c r="C28" s="17"/>
      <c r="D28" s="9"/>
      <c r="E28" s="17"/>
      <c r="F28" s="7"/>
      <c r="G28" s="7"/>
    </row>
    <row r="29" spans="1:12" x14ac:dyDescent="0.35">
      <c r="B29" s="7">
        <v>24</v>
      </c>
      <c r="C29" s="14"/>
      <c r="D29" s="9"/>
      <c r="E29" s="14"/>
      <c r="F29" s="7"/>
      <c r="G29" s="7"/>
    </row>
    <row r="30" spans="1:12" x14ac:dyDescent="0.35">
      <c r="B30" s="7">
        <v>25</v>
      </c>
      <c r="C30" s="14"/>
      <c r="D30" s="9"/>
      <c r="E30" s="14"/>
      <c r="F30" s="7"/>
      <c r="G30" s="7"/>
    </row>
    <row r="31" spans="1:12" x14ac:dyDescent="0.35">
      <c r="B31" s="7">
        <v>26</v>
      </c>
      <c r="C31" s="14"/>
      <c r="D31" s="9"/>
      <c r="E31" s="14"/>
      <c r="F31" s="7"/>
      <c r="G31" s="7"/>
    </row>
    <row r="32" spans="1:12" x14ac:dyDescent="0.35">
      <c r="B32" s="7">
        <v>27</v>
      </c>
      <c r="C32" s="14"/>
      <c r="D32" s="9"/>
      <c r="E32" s="14"/>
      <c r="F32" s="7"/>
      <c r="G32" s="7"/>
    </row>
    <row r="33" spans="2:7" x14ac:dyDescent="0.35">
      <c r="B33" s="7">
        <v>28</v>
      </c>
      <c r="C33" s="14"/>
      <c r="D33" s="9"/>
      <c r="E33" s="14"/>
      <c r="F33" s="7"/>
      <c r="G33" s="7"/>
    </row>
    <row r="34" spans="2:7" x14ac:dyDescent="0.35">
      <c r="B34" s="8"/>
      <c r="C34" s="14"/>
      <c r="D34" s="7"/>
      <c r="E34" s="14"/>
      <c r="F34" s="8"/>
      <c r="G34" s="7"/>
    </row>
    <row r="35" spans="2:7" x14ac:dyDescent="0.35">
      <c r="B35" s="8"/>
      <c r="C35" s="14"/>
      <c r="D35" s="7"/>
      <c r="E35" s="14"/>
      <c r="F35" s="8"/>
      <c r="G35" s="7"/>
    </row>
    <row r="36" spans="2:7" x14ac:dyDescent="0.35">
      <c r="B36" s="8"/>
      <c r="C36" s="14" t="s">
        <v>12</v>
      </c>
      <c r="D36" s="7">
        <f>SUM(D5:D33)</f>
        <v>58</v>
      </c>
      <c r="E36" s="14"/>
      <c r="F36" s="7">
        <f>SUM(F5:F33)</f>
        <v>100</v>
      </c>
      <c r="G36" s="7"/>
    </row>
    <row r="37" spans="2:7" x14ac:dyDescent="0.35">
      <c r="B37" s="3"/>
      <c r="C37" s="15" t="s">
        <v>13</v>
      </c>
      <c r="D37" s="4">
        <f>D36/F36</f>
        <v>0.57999999999999996</v>
      </c>
      <c r="E37" s="15"/>
      <c r="F37" s="3"/>
      <c r="G37" s="3"/>
    </row>
  </sheetData>
  <mergeCells count="1">
    <mergeCell ref="C2:Q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188891490A2547A601C727C63695DC" ma:contentTypeVersion="17" ma:contentTypeDescription="Create a new document." ma:contentTypeScope="" ma:versionID="65c7324ec0c2517d63d7de75edb61fe6">
  <xsd:schema xmlns:xsd="http://www.w3.org/2001/XMLSchema" xmlns:xs="http://www.w3.org/2001/XMLSchema" xmlns:p="http://schemas.microsoft.com/office/2006/metadata/properties" xmlns:ns2="bca868e9-15fc-4a61-86b2-5cdcbc961d69" xmlns:ns3="d843264f-eb1c-4455-b46f-69df53c2bf17" targetNamespace="http://schemas.microsoft.com/office/2006/metadata/properties" ma:root="true" ma:fieldsID="8edc525cdbda39055a0bea5c8e5a1992" ns2:_="" ns3:_="">
    <xsd:import namespace="bca868e9-15fc-4a61-86b2-5cdcbc961d69"/>
    <xsd:import namespace="d843264f-eb1c-4455-b46f-69df53c2bf17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868e9-15fc-4a61-86b2-5cdcbc961d6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9213cd2-1b6b-4383-8c84-15a6bf546a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3264f-eb1c-4455-b46f-69df53c2bf1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bf8c0b5-64ef-4437-8fe6-acaadf3d4f5c}" ma:internalName="TaxCatchAll" ma:showField="CatchAllData" ma:web="d843264f-eb1c-4455-b46f-69df53c2bf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43264f-eb1c-4455-b46f-69df53c2bf17" xsi:nil="true"/>
    <lcf76f155ced4ddcb4097134ff3c332f xmlns="bca868e9-15fc-4a61-86b2-5cdcbc961d69">
      <Terms xmlns="http://schemas.microsoft.com/office/infopath/2007/PartnerControls"/>
    </lcf76f155ced4ddcb4097134ff3c332f>
    <MigrationWizIdPermissions xmlns="bca868e9-15fc-4a61-86b2-5cdcbc961d69" xsi:nil="true"/>
    <lcf76f155ced4ddcb4097134ff3c332f0 xmlns="bca868e9-15fc-4a61-86b2-5cdcbc961d69" xsi:nil="true"/>
    <MigrationWizId xmlns="bca868e9-15fc-4a61-86b2-5cdcbc961d69" xsi:nil="true"/>
    <MigrationWizIdVersion xmlns="bca868e9-15fc-4a61-86b2-5cdcbc961d69" xsi:nil="true"/>
  </documentManagement>
</p:properties>
</file>

<file path=customXml/itemProps1.xml><?xml version="1.0" encoding="utf-8"?>
<ds:datastoreItem xmlns:ds="http://schemas.openxmlformats.org/officeDocument/2006/customXml" ds:itemID="{AAA98F8F-DD9A-48A3-A903-DD63CFC8F4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C03206-E939-45B5-A922-439338E2699A}"/>
</file>

<file path=customXml/itemProps3.xml><?xml version="1.0" encoding="utf-8"?>
<ds:datastoreItem xmlns:ds="http://schemas.openxmlformats.org/officeDocument/2006/customXml" ds:itemID="{BC0E5C0F-E729-4D32-92ED-4A4D6E671CD1}">
  <ds:schemaRefs>
    <ds:schemaRef ds:uri="http://purl.org/dc/terms/"/>
    <ds:schemaRef ds:uri="4a9fd376-d030-4e8b-a2b8-d260a1eae54a"/>
    <ds:schemaRef ds:uri="http://www.w3.org/XML/1998/namespace"/>
    <ds:schemaRef ds:uri="804007b3-4f88-4f86-9143-394bccf02d31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Collins</dc:creator>
  <cp:lastModifiedBy>Harry Grilliot</cp:lastModifiedBy>
  <dcterms:created xsi:type="dcterms:W3CDTF">2025-10-16T15:58:27Z</dcterms:created>
  <dcterms:modified xsi:type="dcterms:W3CDTF">2025-11-05T14:26:12Z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0x01010003188891490A2547A601C727C63695DC</vt:lpwstr>
  </property>
  <property fmtid="{D5CDD505-2E9C-101B-9397-08002B2CF9AE}" pid="3" name="MediaServiceImageTags">
    <vt:lpwstr/>
  </property>
</Properties>
</file>